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1942A7A-0359-43EB-940D-23265049A56B}" xr6:coauthVersionLast="47" xr6:coauthVersionMax="47" xr10:uidLastSave="{00000000-0000-0000-0000-000000000000}"/>
  <bookViews>
    <workbookView xWindow="-108" yWindow="-108" windowWidth="23256" windowHeight="12456" xr2:uid="{93577DD1-47A4-4C20-A0FD-79E34F12A2E6}"/>
  </bookViews>
  <sheets>
    <sheet name="Data" sheetId="1" r:id="rId1"/>
    <sheet name="ANOVA_Input" sheetId="3" r:id="rId2"/>
    <sheet name="Experiment_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D5" i="2"/>
  <c r="D6" i="2" s="1"/>
  <c r="C5" i="2"/>
  <c r="C6" i="2" s="1"/>
  <c r="B5" i="2"/>
  <c r="B6" i="2" s="1"/>
  <c r="D3" i="2"/>
  <c r="D4" i="2" s="1"/>
  <c r="C3" i="2"/>
  <c r="C4" i="2" s="1"/>
  <c r="B3" i="2"/>
  <c r="B4" i="2" s="1"/>
  <c r="D2" i="2"/>
  <c r="C2" i="2"/>
  <c r="B2" i="2"/>
  <c r="D7" i="2" l="1"/>
  <c r="C7" i="2"/>
</calcChain>
</file>

<file path=xl/sharedStrings.xml><?xml version="1.0" encoding="utf-8"?>
<sst xmlns="http://schemas.openxmlformats.org/spreadsheetml/2006/main" count="236" uniqueCount="73">
  <si>
    <t>User_ID</t>
  </si>
  <si>
    <t>Variant</t>
  </si>
  <si>
    <t>Converted</t>
  </si>
  <si>
    <t>Revenue</t>
  </si>
  <si>
    <t>Session_Mins</t>
  </si>
  <si>
    <t>Control</t>
  </si>
  <si>
    <t>Test_A</t>
  </si>
  <si>
    <t>Test_B</t>
  </si>
  <si>
    <t>Metric</t>
  </si>
  <si>
    <t>Winner</t>
  </si>
  <si>
    <t>Status</t>
  </si>
  <si>
    <t>Total Users</t>
  </si>
  <si>
    <t>Conversions</t>
  </si>
  <si>
    <t>Conversion Rate</t>
  </si>
  <si>
    <t>Total Revenue</t>
  </si>
  <si>
    <t>Revenue per User</t>
  </si>
  <si>
    <t>Lift vs Control</t>
  </si>
  <si>
    <t>STATISTICAL TESTS</t>
  </si>
  <si>
    <t>Test: Control vs Test_A</t>
  </si>
  <si>
    <t>P-value</t>
  </si>
  <si>
    <t>Significant? (α=0.05)</t>
  </si>
  <si>
    <t>Test: Control vs Test_B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</si>
  <si>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</si>
  <si>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</si>
  <si>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</si>
  <si>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</si>
  <si>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</si>
  <si>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</si>
  <si>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</si>
  <si>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</si>
  <si>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</si>
  <si>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</si>
  <si>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</si>
  <si>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</si>
  <si>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</si>
  <si>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</si>
  <si>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</si>
  <si>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</si>
  <si>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Count</t>
  </si>
  <si>
    <t>Sum</t>
  </si>
  <si>
    <t>Average</t>
  </si>
  <si>
    <t>Column 1</t>
  </si>
  <si>
    <t>Column 2</t>
  </si>
  <si>
    <t>Column 3</t>
  </si>
  <si>
    <t>ANOVA</t>
  </si>
  <si>
    <t>Source of Variation</t>
  </si>
  <si>
    <t>SS</t>
  </si>
  <si>
    <t>MS</t>
  </si>
  <si>
    <t>F</t>
  </si>
  <si>
    <t>F crit</t>
  </si>
  <si>
    <t>Between Groups</t>
  </si>
  <si>
    <t>Within Groups</t>
  </si>
  <si>
    <t>Total</t>
  </si>
  <si>
    <t>DECISION BOX</t>
  </si>
  <si>
    <t>Criteria</t>
  </si>
  <si>
    <t>Result</t>
  </si>
  <si>
    <t>Statistical Significance</t>
  </si>
  <si>
    <t>P-value = 0.0048 (&lt; 0.05)</t>
  </si>
  <si>
    <t>Minimum Lift (≥ 5%)</t>
  </si>
  <si>
    <t>Test_A: 0%, Test_B: -75%</t>
  </si>
  <si>
    <t>Business Impact</t>
  </si>
  <si>
    <t>Revenue per user: Test_A +13%, Test_B -21%</t>
  </si>
  <si>
    <t>Significant</t>
  </si>
  <si>
    <t>No</t>
  </si>
  <si>
    <t>Mixed</t>
  </si>
  <si>
    <t>FINAL DECISION:</t>
  </si>
  <si>
    <t xml:space="preserve">1.00	</t>
  </si>
  <si>
    <t>No (P &gt; 0.05)</t>
  </si>
  <si>
    <t xml:space="preserve">0.0002 (estimate)	</t>
  </si>
  <si>
    <t>Yes (P &lt; 0.05)</t>
  </si>
  <si>
    <t>No Winner</t>
  </si>
  <si>
    <t>Higher revenue but not significan</t>
  </si>
  <si>
    <t>Test_B is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</si>
</sst>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4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4" borderId="0" xfId="0" applyFill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8698B-243E-457C-889B-175E6EE06CD4}" name="Data" displayName="Data" ref="B1:E151" totalsRowShown="0">
  <autoFilter ref="B1:E151" xr:uid="{B838698B-243E-457C-889B-175E6EE06CD4}"/>
  <tableColumns count="4">
    <tableColumn id="1" xr3:uid="{3E34FB3D-7539-4308-9723-D1E68FB8968A}" name="Variant"/>
    <tableColumn id="2" xr3:uid="{1A94547B-5007-45B4-B82F-4044935EF31A}" name="Converted"/>
    <tableColumn id="3" xr3:uid="{BB3F86CD-7A09-4596-A622-FD0C69580534}" name="Revenue"/>
    <tableColumn id="4" xr3:uid="{FD57642A-5CE6-4F19-ABC5-724C914468DE}" name="Session_M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9D0700-F310-4630-95FC-A176FB172A56}" name="ANOVA_Input" displayName="ANOVA_Input" ref="A1:C51" totalsRowShown="0">
  <autoFilter ref="A1:C51" xr:uid="{189D0700-F310-4630-95FC-A176FB172A56}"/>
  <tableColumns count="3">
    <tableColumn id="1" xr3:uid="{440DA030-A600-4D08-9877-A920083DC9CF}" name="Control"/>
    <tableColumn id="2" xr3:uid="{B7C3F2C0-E8F3-4D31-9927-4504B4AA1E99}" name="Test_A"/>
    <tableColumn id="3" xr3:uid="{B9EA5B90-80E6-4885-8940-789650C110BA}" name="Test_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D0B7-A0A7-47D5-BB4A-D014F505683D}">
  <dimension ref="A1:E151"/>
  <sheetViews>
    <sheetView tabSelected="1" topLeftCell="B1" workbookViewId="0">
      <selection activeCell="D13" sqref="D13"/>
    </sheetView>
  </sheetViews>
  <sheetFormatPr defaultRowHeight="15" x14ac:dyDescent="0.25"/>
  <cols>
    <col min="1" max="1" width="8.7265625" customWidth="1"/>
    <col min="3" max="3" width="11.26953125" customWidth="1"/>
    <col min="4" max="4" width="9.81640625" customWidth="1"/>
    <col min="5" max="5" width="14.2695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0</v>
      </c>
      <c r="D2">
        <v>0</v>
      </c>
      <c r="E2">
        <v>12.5</v>
      </c>
    </row>
    <row r="3" spans="1:5" x14ac:dyDescent="0.25">
      <c r="A3">
        <v>2</v>
      </c>
      <c r="B3" t="s">
        <v>5</v>
      </c>
      <c r="C3">
        <v>0</v>
      </c>
      <c r="D3">
        <v>0</v>
      </c>
      <c r="E3">
        <v>8.3000000000000007</v>
      </c>
    </row>
    <row r="4" spans="1:5" x14ac:dyDescent="0.25">
      <c r="A4">
        <v>3</v>
      </c>
      <c r="B4" t="s">
        <v>5</v>
      </c>
      <c r="C4">
        <v>1</v>
      </c>
      <c r="D4">
        <v>25.99</v>
      </c>
      <c r="E4">
        <v>15.2</v>
      </c>
    </row>
    <row r="5" spans="1:5" x14ac:dyDescent="0.25">
      <c r="A5">
        <v>4</v>
      </c>
      <c r="B5" t="s">
        <v>5</v>
      </c>
      <c r="C5">
        <v>0</v>
      </c>
      <c r="D5">
        <v>0</v>
      </c>
      <c r="E5">
        <v>6.7</v>
      </c>
    </row>
    <row r="6" spans="1:5" x14ac:dyDescent="0.25">
      <c r="A6">
        <v>5</v>
      </c>
      <c r="B6" t="s">
        <v>5</v>
      </c>
      <c r="C6">
        <v>1</v>
      </c>
      <c r="D6">
        <v>19.989999999999998</v>
      </c>
      <c r="E6">
        <v>18.100000000000001</v>
      </c>
    </row>
    <row r="7" spans="1:5" x14ac:dyDescent="0.25">
      <c r="A7">
        <v>6</v>
      </c>
      <c r="B7" t="s">
        <v>5</v>
      </c>
      <c r="C7">
        <v>0</v>
      </c>
      <c r="D7">
        <v>0</v>
      </c>
      <c r="E7">
        <v>9.4</v>
      </c>
    </row>
    <row r="8" spans="1:5" x14ac:dyDescent="0.25">
      <c r="A8">
        <v>7</v>
      </c>
      <c r="B8" t="s">
        <v>5</v>
      </c>
      <c r="C8">
        <v>1</v>
      </c>
      <c r="D8">
        <v>49.99</v>
      </c>
      <c r="E8">
        <v>22.3</v>
      </c>
    </row>
    <row r="9" spans="1:5" x14ac:dyDescent="0.25">
      <c r="A9">
        <v>8</v>
      </c>
      <c r="B9" t="s">
        <v>5</v>
      </c>
      <c r="C9">
        <v>0</v>
      </c>
      <c r="D9">
        <v>0</v>
      </c>
      <c r="E9">
        <v>5.2</v>
      </c>
    </row>
    <row r="10" spans="1:5" x14ac:dyDescent="0.25">
      <c r="A10">
        <v>9</v>
      </c>
      <c r="B10" t="s">
        <v>5</v>
      </c>
      <c r="C10">
        <v>0</v>
      </c>
      <c r="D10">
        <v>0</v>
      </c>
      <c r="E10">
        <v>14.6</v>
      </c>
    </row>
    <row r="11" spans="1:5" x14ac:dyDescent="0.25">
      <c r="A11">
        <v>10</v>
      </c>
      <c r="B11" t="s">
        <v>5</v>
      </c>
      <c r="C11">
        <v>1</v>
      </c>
      <c r="D11">
        <v>29.99</v>
      </c>
      <c r="E11">
        <v>16.8</v>
      </c>
    </row>
    <row r="12" spans="1:5" x14ac:dyDescent="0.25">
      <c r="A12">
        <v>11</v>
      </c>
      <c r="B12" t="s">
        <v>5</v>
      </c>
      <c r="C12">
        <v>0</v>
      </c>
      <c r="D12">
        <v>0</v>
      </c>
      <c r="E12">
        <v>7.9</v>
      </c>
    </row>
    <row r="13" spans="1:5" x14ac:dyDescent="0.25">
      <c r="A13">
        <v>12</v>
      </c>
      <c r="B13" t="s">
        <v>5</v>
      </c>
      <c r="C13">
        <v>0</v>
      </c>
      <c r="D13">
        <v>0</v>
      </c>
      <c r="E13">
        <v>11.2</v>
      </c>
    </row>
    <row r="14" spans="1:5" x14ac:dyDescent="0.25">
      <c r="A14">
        <v>13</v>
      </c>
      <c r="B14" t="s">
        <v>5</v>
      </c>
      <c r="C14">
        <v>1</v>
      </c>
      <c r="D14">
        <v>39.99</v>
      </c>
      <c r="E14">
        <v>19.5</v>
      </c>
    </row>
    <row r="15" spans="1:5" x14ac:dyDescent="0.25">
      <c r="A15">
        <v>14</v>
      </c>
      <c r="B15" t="s">
        <v>5</v>
      </c>
      <c r="C15">
        <v>0</v>
      </c>
      <c r="D15">
        <v>0</v>
      </c>
      <c r="E15">
        <v>4.8</v>
      </c>
    </row>
    <row r="16" spans="1:5" x14ac:dyDescent="0.25">
      <c r="A16">
        <v>15</v>
      </c>
      <c r="B16" t="s">
        <v>5</v>
      </c>
      <c r="C16">
        <v>0</v>
      </c>
      <c r="D16">
        <v>0</v>
      </c>
      <c r="E16">
        <v>13.4</v>
      </c>
    </row>
    <row r="17" spans="1:5" x14ac:dyDescent="0.25">
      <c r="A17">
        <v>16</v>
      </c>
      <c r="B17" t="s">
        <v>5</v>
      </c>
      <c r="C17">
        <v>1</v>
      </c>
      <c r="D17">
        <v>15.99</v>
      </c>
      <c r="E17">
        <v>17.2</v>
      </c>
    </row>
    <row r="18" spans="1:5" x14ac:dyDescent="0.25">
      <c r="A18">
        <v>17</v>
      </c>
      <c r="B18" t="s">
        <v>5</v>
      </c>
      <c r="C18">
        <v>0</v>
      </c>
      <c r="D18">
        <v>0</v>
      </c>
      <c r="E18">
        <v>8.6</v>
      </c>
    </row>
    <row r="19" spans="1:5" x14ac:dyDescent="0.25">
      <c r="A19">
        <v>18</v>
      </c>
      <c r="B19" t="s">
        <v>5</v>
      </c>
      <c r="C19">
        <v>0</v>
      </c>
      <c r="D19">
        <v>0</v>
      </c>
      <c r="E19">
        <v>10.9</v>
      </c>
    </row>
    <row r="20" spans="1:5" x14ac:dyDescent="0.25">
      <c r="A20">
        <v>19</v>
      </c>
      <c r="B20" t="s">
        <v>5</v>
      </c>
      <c r="C20">
        <v>1</v>
      </c>
      <c r="D20">
        <v>44.99</v>
      </c>
      <c r="E20">
        <v>21.4</v>
      </c>
    </row>
    <row r="21" spans="1:5" x14ac:dyDescent="0.25">
      <c r="A21">
        <v>20</v>
      </c>
      <c r="B21" t="s">
        <v>5</v>
      </c>
      <c r="C21">
        <v>0</v>
      </c>
      <c r="D21">
        <v>0</v>
      </c>
      <c r="E21">
        <v>6.3</v>
      </c>
    </row>
    <row r="22" spans="1:5" x14ac:dyDescent="0.25">
      <c r="A22">
        <v>21</v>
      </c>
      <c r="B22" t="s">
        <v>5</v>
      </c>
      <c r="C22">
        <v>0</v>
      </c>
      <c r="D22">
        <v>0</v>
      </c>
      <c r="E22">
        <v>12.1</v>
      </c>
    </row>
    <row r="23" spans="1:5" x14ac:dyDescent="0.25">
      <c r="A23">
        <v>22</v>
      </c>
      <c r="B23" t="s">
        <v>5</v>
      </c>
      <c r="C23">
        <v>1</v>
      </c>
      <c r="D23">
        <v>34.99</v>
      </c>
      <c r="E23">
        <v>15.9</v>
      </c>
    </row>
    <row r="24" spans="1:5" x14ac:dyDescent="0.25">
      <c r="A24">
        <v>23</v>
      </c>
      <c r="B24" t="s">
        <v>5</v>
      </c>
      <c r="C24">
        <v>0</v>
      </c>
      <c r="D24">
        <v>0</v>
      </c>
      <c r="E24">
        <v>7.4</v>
      </c>
    </row>
    <row r="25" spans="1:5" x14ac:dyDescent="0.25">
      <c r="A25">
        <v>24</v>
      </c>
      <c r="B25" t="s">
        <v>5</v>
      </c>
      <c r="C25">
        <v>0</v>
      </c>
      <c r="D25">
        <v>0</v>
      </c>
      <c r="E25">
        <v>9.8000000000000007</v>
      </c>
    </row>
    <row r="26" spans="1:5" x14ac:dyDescent="0.25">
      <c r="A26">
        <v>25</v>
      </c>
      <c r="B26" t="s">
        <v>5</v>
      </c>
      <c r="C26">
        <v>0</v>
      </c>
      <c r="D26">
        <v>0</v>
      </c>
      <c r="E26">
        <v>11.5</v>
      </c>
    </row>
    <row r="27" spans="1:5" x14ac:dyDescent="0.25">
      <c r="A27">
        <v>26</v>
      </c>
      <c r="B27" t="s">
        <v>5</v>
      </c>
      <c r="C27">
        <v>1</v>
      </c>
      <c r="D27">
        <v>22.99</v>
      </c>
      <c r="E27">
        <v>14.2</v>
      </c>
    </row>
    <row r="28" spans="1:5" x14ac:dyDescent="0.25">
      <c r="A28">
        <v>27</v>
      </c>
      <c r="B28" t="s">
        <v>5</v>
      </c>
      <c r="C28">
        <v>0</v>
      </c>
      <c r="D28">
        <v>0</v>
      </c>
      <c r="E28">
        <v>5.9</v>
      </c>
    </row>
    <row r="29" spans="1:5" x14ac:dyDescent="0.25">
      <c r="A29">
        <v>28</v>
      </c>
      <c r="B29" t="s">
        <v>5</v>
      </c>
      <c r="C29">
        <v>0</v>
      </c>
      <c r="D29">
        <v>0</v>
      </c>
      <c r="E29">
        <v>13.7</v>
      </c>
    </row>
    <row r="30" spans="1:5" x14ac:dyDescent="0.25">
      <c r="A30">
        <v>29</v>
      </c>
      <c r="B30" t="s">
        <v>5</v>
      </c>
      <c r="C30">
        <v>1</v>
      </c>
      <c r="D30">
        <v>54.99</v>
      </c>
      <c r="E30">
        <v>20.3</v>
      </c>
    </row>
    <row r="31" spans="1:5" x14ac:dyDescent="0.25">
      <c r="A31">
        <v>30</v>
      </c>
      <c r="B31" t="s">
        <v>5</v>
      </c>
      <c r="C31">
        <v>0</v>
      </c>
      <c r="D31">
        <v>0</v>
      </c>
      <c r="E31">
        <v>8.1</v>
      </c>
    </row>
    <row r="32" spans="1:5" x14ac:dyDescent="0.25">
      <c r="A32">
        <v>31</v>
      </c>
      <c r="B32" t="s">
        <v>5</v>
      </c>
      <c r="C32">
        <v>0</v>
      </c>
      <c r="D32">
        <v>0</v>
      </c>
      <c r="E32">
        <v>10.4</v>
      </c>
    </row>
    <row r="33" spans="1:5" x14ac:dyDescent="0.25">
      <c r="A33">
        <v>32</v>
      </c>
      <c r="B33" t="s">
        <v>5</v>
      </c>
      <c r="C33">
        <v>1</v>
      </c>
      <c r="D33">
        <v>18.989999999999998</v>
      </c>
      <c r="E33">
        <v>16.5</v>
      </c>
    </row>
    <row r="34" spans="1:5" x14ac:dyDescent="0.25">
      <c r="A34">
        <v>33</v>
      </c>
      <c r="B34" t="s">
        <v>5</v>
      </c>
      <c r="C34">
        <v>0</v>
      </c>
      <c r="D34">
        <v>0</v>
      </c>
      <c r="E34">
        <v>6.8</v>
      </c>
    </row>
    <row r="35" spans="1:5" x14ac:dyDescent="0.25">
      <c r="A35">
        <v>34</v>
      </c>
      <c r="B35" t="s">
        <v>5</v>
      </c>
      <c r="C35">
        <v>0</v>
      </c>
      <c r="D35">
        <v>0</v>
      </c>
      <c r="E35">
        <v>12.9</v>
      </c>
    </row>
    <row r="36" spans="1:5" x14ac:dyDescent="0.25">
      <c r="A36">
        <v>35</v>
      </c>
      <c r="B36" t="s">
        <v>5</v>
      </c>
      <c r="C36">
        <v>0</v>
      </c>
      <c r="D36">
        <v>0</v>
      </c>
      <c r="E36">
        <v>9.1999999999999993</v>
      </c>
    </row>
    <row r="37" spans="1:5" x14ac:dyDescent="0.25">
      <c r="A37">
        <v>36</v>
      </c>
      <c r="B37" t="s">
        <v>5</v>
      </c>
      <c r="C37">
        <v>1</v>
      </c>
      <c r="D37">
        <v>32.99</v>
      </c>
      <c r="E37">
        <v>18.7</v>
      </c>
    </row>
    <row r="38" spans="1:5" x14ac:dyDescent="0.25">
      <c r="A38">
        <v>37</v>
      </c>
      <c r="B38" t="s">
        <v>5</v>
      </c>
      <c r="C38">
        <v>0</v>
      </c>
      <c r="D38">
        <v>0</v>
      </c>
      <c r="E38">
        <v>7.1</v>
      </c>
    </row>
    <row r="39" spans="1:5" x14ac:dyDescent="0.25">
      <c r="A39">
        <v>38</v>
      </c>
      <c r="B39" t="s">
        <v>5</v>
      </c>
      <c r="C39">
        <v>0</v>
      </c>
      <c r="D39">
        <v>0</v>
      </c>
      <c r="E39">
        <v>11.8</v>
      </c>
    </row>
    <row r="40" spans="1:5" x14ac:dyDescent="0.25">
      <c r="A40">
        <v>39</v>
      </c>
      <c r="B40" t="s">
        <v>5</v>
      </c>
      <c r="C40">
        <v>1</v>
      </c>
      <c r="D40">
        <v>28.99</v>
      </c>
      <c r="E40">
        <v>15.4</v>
      </c>
    </row>
    <row r="41" spans="1:5" x14ac:dyDescent="0.25">
      <c r="A41">
        <v>40</v>
      </c>
      <c r="B41" t="s">
        <v>5</v>
      </c>
      <c r="C41">
        <v>0</v>
      </c>
      <c r="D41">
        <v>0</v>
      </c>
      <c r="E41">
        <v>5.5</v>
      </c>
    </row>
    <row r="42" spans="1:5" x14ac:dyDescent="0.25">
      <c r="A42">
        <v>41</v>
      </c>
      <c r="B42" t="s">
        <v>5</v>
      </c>
      <c r="C42">
        <v>0</v>
      </c>
      <c r="D42">
        <v>0</v>
      </c>
      <c r="E42">
        <v>14.3</v>
      </c>
    </row>
    <row r="43" spans="1:5" x14ac:dyDescent="0.25">
      <c r="A43">
        <v>42</v>
      </c>
      <c r="B43" t="s">
        <v>5</v>
      </c>
      <c r="C43">
        <v>1</v>
      </c>
      <c r="D43">
        <v>47.99</v>
      </c>
      <c r="E43">
        <v>23.1</v>
      </c>
    </row>
    <row r="44" spans="1:5" x14ac:dyDescent="0.25">
      <c r="A44">
        <v>43</v>
      </c>
      <c r="B44" t="s">
        <v>5</v>
      </c>
      <c r="C44">
        <v>0</v>
      </c>
      <c r="D44">
        <v>0</v>
      </c>
      <c r="E44">
        <v>8.4</v>
      </c>
    </row>
    <row r="45" spans="1:5" x14ac:dyDescent="0.25">
      <c r="A45">
        <v>44</v>
      </c>
      <c r="B45" t="s">
        <v>5</v>
      </c>
      <c r="C45">
        <v>0</v>
      </c>
      <c r="D45">
        <v>0</v>
      </c>
      <c r="E45">
        <v>10.1</v>
      </c>
    </row>
    <row r="46" spans="1:5" x14ac:dyDescent="0.25">
      <c r="A46">
        <v>45</v>
      </c>
      <c r="B46" t="s">
        <v>5</v>
      </c>
      <c r="C46">
        <v>0</v>
      </c>
      <c r="D46">
        <v>0</v>
      </c>
      <c r="E46">
        <v>13.2</v>
      </c>
    </row>
    <row r="47" spans="1:5" x14ac:dyDescent="0.25">
      <c r="A47">
        <v>46</v>
      </c>
      <c r="B47" t="s">
        <v>5</v>
      </c>
      <c r="C47">
        <v>1</v>
      </c>
      <c r="D47">
        <v>21.99</v>
      </c>
      <c r="E47">
        <v>17.8</v>
      </c>
    </row>
    <row r="48" spans="1:5" x14ac:dyDescent="0.25">
      <c r="A48">
        <v>47</v>
      </c>
      <c r="B48" t="s">
        <v>5</v>
      </c>
      <c r="C48">
        <v>0</v>
      </c>
      <c r="D48">
        <v>0</v>
      </c>
      <c r="E48">
        <v>6.2</v>
      </c>
    </row>
    <row r="49" spans="1:5" x14ac:dyDescent="0.25">
      <c r="A49">
        <v>48</v>
      </c>
      <c r="B49" t="s">
        <v>5</v>
      </c>
      <c r="C49">
        <v>0</v>
      </c>
      <c r="D49">
        <v>0</v>
      </c>
      <c r="E49">
        <v>12.6</v>
      </c>
    </row>
    <row r="50" spans="1:5" x14ac:dyDescent="0.25">
      <c r="A50">
        <v>49</v>
      </c>
      <c r="B50" t="s">
        <v>5</v>
      </c>
      <c r="C50">
        <v>1</v>
      </c>
      <c r="D50">
        <v>38.99</v>
      </c>
      <c r="E50">
        <v>19.899999999999999</v>
      </c>
    </row>
    <row r="51" spans="1:5" x14ac:dyDescent="0.25">
      <c r="A51">
        <v>50</v>
      </c>
      <c r="B51" t="s">
        <v>5</v>
      </c>
      <c r="C51">
        <v>0</v>
      </c>
      <c r="D51">
        <v>0</v>
      </c>
      <c r="E51">
        <v>7.6</v>
      </c>
    </row>
    <row r="52" spans="1:5" x14ac:dyDescent="0.25">
      <c r="A52">
        <v>51</v>
      </c>
      <c r="B52" t="s">
        <v>6</v>
      </c>
      <c r="C52">
        <v>0</v>
      </c>
      <c r="D52">
        <v>0</v>
      </c>
      <c r="E52">
        <v>11.8</v>
      </c>
    </row>
    <row r="53" spans="1:5" x14ac:dyDescent="0.25">
      <c r="A53">
        <v>52</v>
      </c>
      <c r="B53" t="s">
        <v>6</v>
      </c>
      <c r="C53">
        <v>0</v>
      </c>
      <c r="D53">
        <v>0</v>
      </c>
      <c r="E53">
        <v>9.1999999999999993</v>
      </c>
    </row>
    <row r="54" spans="1:5" x14ac:dyDescent="0.25">
      <c r="A54">
        <v>53</v>
      </c>
      <c r="B54" t="s">
        <v>6</v>
      </c>
      <c r="C54">
        <v>1</v>
      </c>
      <c r="D54">
        <v>29.99</v>
      </c>
      <c r="E54">
        <v>16.399999999999999</v>
      </c>
    </row>
    <row r="55" spans="1:5" x14ac:dyDescent="0.25">
      <c r="A55">
        <v>54</v>
      </c>
      <c r="B55" t="s">
        <v>6</v>
      </c>
      <c r="C55">
        <v>0</v>
      </c>
      <c r="D55">
        <v>0</v>
      </c>
      <c r="E55">
        <v>7.1</v>
      </c>
    </row>
    <row r="56" spans="1:5" x14ac:dyDescent="0.25">
      <c r="A56">
        <v>55</v>
      </c>
      <c r="B56" t="s">
        <v>6</v>
      </c>
      <c r="C56">
        <v>1</v>
      </c>
      <c r="D56">
        <v>22.99</v>
      </c>
      <c r="E56">
        <v>19.3</v>
      </c>
    </row>
    <row r="57" spans="1:5" x14ac:dyDescent="0.25">
      <c r="A57">
        <v>56</v>
      </c>
      <c r="B57" t="s">
        <v>6</v>
      </c>
      <c r="C57">
        <v>0</v>
      </c>
      <c r="D57">
        <v>0</v>
      </c>
      <c r="E57">
        <v>10.5</v>
      </c>
    </row>
    <row r="58" spans="1:5" x14ac:dyDescent="0.25">
      <c r="A58">
        <v>57</v>
      </c>
      <c r="B58" t="s">
        <v>6</v>
      </c>
      <c r="C58">
        <v>1</v>
      </c>
      <c r="D58">
        <v>54.99</v>
      </c>
      <c r="E58">
        <v>23.8</v>
      </c>
    </row>
    <row r="59" spans="1:5" x14ac:dyDescent="0.25">
      <c r="A59">
        <v>58</v>
      </c>
      <c r="B59" t="s">
        <v>6</v>
      </c>
      <c r="C59">
        <v>0</v>
      </c>
      <c r="D59">
        <v>0</v>
      </c>
      <c r="E59">
        <v>6.4</v>
      </c>
    </row>
    <row r="60" spans="1:5" x14ac:dyDescent="0.25">
      <c r="A60">
        <v>59</v>
      </c>
      <c r="B60" t="s">
        <v>6</v>
      </c>
      <c r="C60">
        <v>0</v>
      </c>
      <c r="D60">
        <v>0</v>
      </c>
      <c r="E60">
        <v>15.8</v>
      </c>
    </row>
    <row r="61" spans="1:5" x14ac:dyDescent="0.25">
      <c r="A61">
        <v>60</v>
      </c>
      <c r="B61" t="s">
        <v>6</v>
      </c>
      <c r="C61">
        <v>1</v>
      </c>
      <c r="D61">
        <v>34.99</v>
      </c>
      <c r="E61">
        <v>18.2</v>
      </c>
    </row>
    <row r="62" spans="1:5" x14ac:dyDescent="0.25">
      <c r="A62">
        <v>61</v>
      </c>
      <c r="B62" t="s">
        <v>6</v>
      </c>
      <c r="C62">
        <v>0</v>
      </c>
      <c r="D62">
        <v>0</v>
      </c>
      <c r="E62">
        <v>8.9</v>
      </c>
    </row>
    <row r="63" spans="1:5" x14ac:dyDescent="0.25">
      <c r="A63">
        <v>62</v>
      </c>
      <c r="B63" t="s">
        <v>6</v>
      </c>
      <c r="C63">
        <v>0</v>
      </c>
      <c r="D63">
        <v>0</v>
      </c>
      <c r="E63">
        <v>12.4</v>
      </c>
    </row>
    <row r="64" spans="1:5" x14ac:dyDescent="0.25">
      <c r="A64">
        <v>63</v>
      </c>
      <c r="B64" t="s">
        <v>6</v>
      </c>
      <c r="C64">
        <v>1</v>
      </c>
      <c r="D64">
        <v>44.99</v>
      </c>
      <c r="E64">
        <v>20.9</v>
      </c>
    </row>
    <row r="65" spans="1:5" x14ac:dyDescent="0.25">
      <c r="A65">
        <v>64</v>
      </c>
      <c r="B65" t="s">
        <v>6</v>
      </c>
      <c r="C65">
        <v>0</v>
      </c>
      <c r="D65">
        <v>0</v>
      </c>
      <c r="E65">
        <v>5.6</v>
      </c>
    </row>
    <row r="66" spans="1:5" x14ac:dyDescent="0.25">
      <c r="A66">
        <v>65</v>
      </c>
      <c r="B66" t="s">
        <v>6</v>
      </c>
      <c r="C66">
        <v>0</v>
      </c>
      <c r="D66">
        <v>0</v>
      </c>
      <c r="E66">
        <v>14.5</v>
      </c>
    </row>
    <row r="67" spans="1:5" x14ac:dyDescent="0.25">
      <c r="A67">
        <v>66</v>
      </c>
      <c r="B67" t="s">
        <v>6</v>
      </c>
      <c r="C67">
        <v>1</v>
      </c>
      <c r="D67">
        <v>19.989999999999998</v>
      </c>
      <c r="E67">
        <v>18.600000000000001</v>
      </c>
    </row>
    <row r="68" spans="1:5" x14ac:dyDescent="0.25">
      <c r="A68">
        <v>67</v>
      </c>
      <c r="B68" t="s">
        <v>6</v>
      </c>
      <c r="C68">
        <v>0</v>
      </c>
      <c r="D68">
        <v>0</v>
      </c>
      <c r="E68">
        <v>9.6999999999999993</v>
      </c>
    </row>
    <row r="69" spans="1:5" x14ac:dyDescent="0.25">
      <c r="A69">
        <v>68</v>
      </c>
      <c r="B69" t="s">
        <v>6</v>
      </c>
      <c r="C69">
        <v>0</v>
      </c>
      <c r="D69">
        <v>0</v>
      </c>
      <c r="E69">
        <v>11.1</v>
      </c>
    </row>
    <row r="70" spans="1:5" x14ac:dyDescent="0.25">
      <c r="A70">
        <v>69</v>
      </c>
      <c r="B70" t="s">
        <v>6</v>
      </c>
      <c r="C70">
        <v>1</v>
      </c>
      <c r="D70">
        <v>49.99</v>
      </c>
      <c r="E70">
        <v>22.7</v>
      </c>
    </row>
    <row r="71" spans="1:5" x14ac:dyDescent="0.25">
      <c r="A71">
        <v>70</v>
      </c>
      <c r="B71" t="s">
        <v>6</v>
      </c>
      <c r="C71">
        <v>0</v>
      </c>
      <c r="D71">
        <v>0</v>
      </c>
      <c r="E71">
        <v>7.3</v>
      </c>
    </row>
    <row r="72" spans="1:5" x14ac:dyDescent="0.25">
      <c r="A72">
        <v>71</v>
      </c>
      <c r="B72" t="s">
        <v>6</v>
      </c>
      <c r="C72">
        <v>0</v>
      </c>
      <c r="D72">
        <v>0</v>
      </c>
      <c r="E72">
        <v>13.2</v>
      </c>
    </row>
    <row r="73" spans="1:5" x14ac:dyDescent="0.25">
      <c r="A73">
        <v>72</v>
      </c>
      <c r="B73" t="s">
        <v>6</v>
      </c>
      <c r="C73">
        <v>1</v>
      </c>
      <c r="D73">
        <v>39.99</v>
      </c>
      <c r="E73">
        <v>17.100000000000001</v>
      </c>
    </row>
    <row r="74" spans="1:5" x14ac:dyDescent="0.25">
      <c r="A74">
        <v>73</v>
      </c>
      <c r="B74" t="s">
        <v>6</v>
      </c>
      <c r="C74">
        <v>0</v>
      </c>
      <c r="D74">
        <v>0</v>
      </c>
      <c r="E74">
        <v>8.5</v>
      </c>
    </row>
    <row r="75" spans="1:5" x14ac:dyDescent="0.25">
      <c r="A75">
        <v>74</v>
      </c>
      <c r="B75" t="s">
        <v>6</v>
      </c>
      <c r="C75">
        <v>0</v>
      </c>
      <c r="D75">
        <v>0</v>
      </c>
      <c r="E75">
        <v>10.8</v>
      </c>
    </row>
    <row r="76" spans="1:5" x14ac:dyDescent="0.25">
      <c r="A76">
        <v>75</v>
      </c>
      <c r="B76" t="s">
        <v>6</v>
      </c>
      <c r="C76">
        <v>0</v>
      </c>
      <c r="D76">
        <v>0</v>
      </c>
      <c r="E76">
        <v>12.7</v>
      </c>
    </row>
    <row r="77" spans="1:5" x14ac:dyDescent="0.25">
      <c r="A77">
        <v>76</v>
      </c>
      <c r="B77" t="s">
        <v>6</v>
      </c>
      <c r="C77">
        <v>1</v>
      </c>
      <c r="D77">
        <v>27.99</v>
      </c>
      <c r="E77">
        <v>15.3</v>
      </c>
    </row>
    <row r="78" spans="1:5" x14ac:dyDescent="0.25">
      <c r="A78">
        <v>77</v>
      </c>
      <c r="B78" t="s">
        <v>6</v>
      </c>
      <c r="C78">
        <v>0</v>
      </c>
      <c r="D78">
        <v>0</v>
      </c>
      <c r="E78">
        <v>6.9</v>
      </c>
    </row>
    <row r="79" spans="1:5" x14ac:dyDescent="0.25">
      <c r="A79">
        <v>78</v>
      </c>
      <c r="B79" t="s">
        <v>6</v>
      </c>
      <c r="C79">
        <v>0</v>
      </c>
      <c r="D79">
        <v>0</v>
      </c>
      <c r="E79">
        <v>14.8</v>
      </c>
    </row>
    <row r="80" spans="1:5" x14ac:dyDescent="0.25">
      <c r="A80">
        <v>79</v>
      </c>
      <c r="B80" t="s">
        <v>6</v>
      </c>
      <c r="C80">
        <v>1</v>
      </c>
      <c r="D80">
        <v>59.99</v>
      </c>
      <c r="E80">
        <v>21.6</v>
      </c>
    </row>
    <row r="81" spans="1:5" x14ac:dyDescent="0.25">
      <c r="A81">
        <v>80</v>
      </c>
      <c r="B81" t="s">
        <v>6</v>
      </c>
      <c r="C81">
        <v>0</v>
      </c>
      <c r="D81">
        <v>0</v>
      </c>
      <c r="E81">
        <v>9.1</v>
      </c>
    </row>
    <row r="82" spans="1:5" x14ac:dyDescent="0.25">
      <c r="A82">
        <v>81</v>
      </c>
      <c r="B82" t="s">
        <v>6</v>
      </c>
      <c r="C82">
        <v>0</v>
      </c>
      <c r="D82">
        <v>0</v>
      </c>
      <c r="E82">
        <v>11.4</v>
      </c>
    </row>
    <row r="83" spans="1:5" x14ac:dyDescent="0.25">
      <c r="A83">
        <v>82</v>
      </c>
      <c r="B83" t="s">
        <v>6</v>
      </c>
      <c r="C83">
        <v>1</v>
      </c>
      <c r="D83">
        <v>21.99</v>
      </c>
      <c r="E83">
        <v>17.899999999999999</v>
      </c>
    </row>
    <row r="84" spans="1:5" x14ac:dyDescent="0.25">
      <c r="A84">
        <v>83</v>
      </c>
      <c r="B84" t="s">
        <v>6</v>
      </c>
      <c r="C84">
        <v>0</v>
      </c>
      <c r="D84">
        <v>0</v>
      </c>
      <c r="E84">
        <v>7.8</v>
      </c>
    </row>
    <row r="85" spans="1:5" x14ac:dyDescent="0.25">
      <c r="A85">
        <v>84</v>
      </c>
      <c r="B85" t="s">
        <v>6</v>
      </c>
      <c r="C85">
        <v>0</v>
      </c>
      <c r="D85">
        <v>0</v>
      </c>
      <c r="E85">
        <v>13.9</v>
      </c>
    </row>
    <row r="86" spans="1:5" x14ac:dyDescent="0.25">
      <c r="A86">
        <v>85</v>
      </c>
      <c r="B86" t="s">
        <v>6</v>
      </c>
      <c r="C86">
        <v>0</v>
      </c>
      <c r="D86">
        <v>0</v>
      </c>
      <c r="E86">
        <v>10.199999999999999</v>
      </c>
    </row>
    <row r="87" spans="1:5" x14ac:dyDescent="0.25">
      <c r="A87">
        <v>86</v>
      </c>
      <c r="B87" t="s">
        <v>6</v>
      </c>
      <c r="C87">
        <v>1</v>
      </c>
      <c r="D87">
        <v>37.99</v>
      </c>
      <c r="E87">
        <v>19.8</v>
      </c>
    </row>
    <row r="88" spans="1:5" x14ac:dyDescent="0.25">
      <c r="A88">
        <v>87</v>
      </c>
      <c r="B88" t="s">
        <v>6</v>
      </c>
      <c r="C88">
        <v>0</v>
      </c>
      <c r="D88">
        <v>0</v>
      </c>
      <c r="E88">
        <v>8.1999999999999993</v>
      </c>
    </row>
    <row r="89" spans="1:5" x14ac:dyDescent="0.25">
      <c r="A89">
        <v>88</v>
      </c>
      <c r="B89" t="s">
        <v>6</v>
      </c>
      <c r="C89">
        <v>0</v>
      </c>
      <c r="D89">
        <v>0</v>
      </c>
      <c r="E89">
        <v>12.2</v>
      </c>
    </row>
    <row r="90" spans="1:5" x14ac:dyDescent="0.25">
      <c r="A90">
        <v>89</v>
      </c>
      <c r="B90" t="s">
        <v>6</v>
      </c>
      <c r="C90">
        <v>1</v>
      </c>
      <c r="D90">
        <v>32.99</v>
      </c>
      <c r="E90">
        <v>16.7</v>
      </c>
    </row>
    <row r="91" spans="1:5" x14ac:dyDescent="0.25">
      <c r="A91">
        <v>90</v>
      </c>
      <c r="B91" t="s">
        <v>6</v>
      </c>
      <c r="C91">
        <v>0</v>
      </c>
      <c r="D91">
        <v>0</v>
      </c>
      <c r="E91">
        <v>6.5</v>
      </c>
    </row>
    <row r="92" spans="1:5" x14ac:dyDescent="0.25">
      <c r="A92">
        <v>91</v>
      </c>
      <c r="B92" t="s">
        <v>6</v>
      </c>
      <c r="C92">
        <v>0</v>
      </c>
      <c r="D92">
        <v>0</v>
      </c>
      <c r="E92">
        <v>15.2</v>
      </c>
    </row>
    <row r="93" spans="1:5" x14ac:dyDescent="0.25">
      <c r="A93">
        <v>92</v>
      </c>
      <c r="B93" t="s">
        <v>6</v>
      </c>
      <c r="C93">
        <v>1</v>
      </c>
      <c r="D93">
        <v>51.99</v>
      </c>
      <c r="E93">
        <v>24.3</v>
      </c>
    </row>
    <row r="94" spans="1:5" x14ac:dyDescent="0.25">
      <c r="A94">
        <v>93</v>
      </c>
      <c r="B94" t="s">
        <v>6</v>
      </c>
      <c r="C94">
        <v>0</v>
      </c>
      <c r="D94">
        <v>0</v>
      </c>
      <c r="E94">
        <v>9.5</v>
      </c>
    </row>
    <row r="95" spans="1:5" x14ac:dyDescent="0.25">
      <c r="A95">
        <v>94</v>
      </c>
      <c r="B95" t="s">
        <v>6</v>
      </c>
      <c r="C95">
        <v>0</v>
      </c>
      <c r="D95">
        <v>0</v>
      </c>
      <c r="E95">
        <v>11.9</v>
      </c>
    </row>
    <row r="96" spans="1:5" x14ac:dyDescent="0.25">
      <c r="A96">
        <v>95</v>
      </c>
      <c r="B96" t="s">
        <v>6</v>
      </c>
      <c r="C96">
        <v>0</v>
      </c>
      <c r="D96">
        <v>0</v>
      </c>
      <c r="E96">
        <v>14.1</v>
      </c>
    </row>
    <row r="97" spans="1:5" x14ac:dyDescent="0.25">
      <c r="A97">
        <v>96</v>
      </c>
      <c r="B97" t="s">
        <v>6</v>
      </c>
      <c r="C97">
        <v>1</v>
      </c>
      <c r="D97">
        <v>25.99</v>
      </c>
      <c r="E97">
        <v>18.899999999999999</v>
      </c>
    </row>
    <row r="98" spans="1:5" x14ac:dyDescent="0.25">
      <c r="A98">
        <v>97</v>
      </c>
      <c r="B98" t="s">
        <v>6</v>
      </c>
      <c r="C98">
        <v>0</v>
      </c>
      <c r="D98">
        <v>0</v>
      </c>
      <c r="E98">
        <v>7.2</v>
      </c>
    </row>
    <row r="99" spans="1:5" x14ac:dyDescent="0.25">
      <c r="A99">
        <v>98</v>
      </c>
      <c r="B99" t="s">
        <v>6</v>
      </c>
      <c r="C99">
        <v>0</v>
      </c>
      <c r="D99">
        <v>0</v>
      </c>
      <c r="E99">
        <v>13.6</v>
      </c>
    </row>
    <row r="100" spans="1:5" x14ac:dyDescent="0.25">
      <c r="A100">
        <v>99</v>
      </c>
      <c r="B100" t="s">
        <v>6</v>
      </c>
      <c r="C100">
        <v>1</v>
      </c>
      <c r="D100">
        <v>42.99</v>
      </c>
      <c r="E100">
        <v>21.1</v>
      </c>
    </row>
    <row r="101" spans="1:5" x14ac:dyDescent="0.25">
      <c r="A101">
        <v>100</v>
      </c>
      <c r="B101" t="s">
        <v>6</v>
      </c>
      <c r="C101">
        <v>0</v>
      </c>
      <c r="D101">
        <v>0</v>
      </c>
      <c r="E101">
        <v>8.6999999999999993</v>
      </c>
    </row>
    <row r="102" spans="1:5" x14ac:dyDescent="0.25">
      <c r="A102">
        <v>101</v>
      </c>
      <c r="B102" t="s">
        <v>7</v>
      </c>
      <c r="C102">
        <v>0</v>
      </c>
      <c r="D102">
        <v>0</v>
      </c>
      <c r="E102">
        <v>10.1</v>
      </c>
    </row>
    <row r="103" spans="1:5" x14ac:dyDescent="0.25">
      <c r="A103">
        <v>102</v>
      </c>
      <c r="B103" t="s">
        <v>7</v>
      </c>
      <c r="C103">
        <v>0</v>
      </c>
      <c r="D103">
        <v>0</v>
      </c>
      <c r="E103">
        <v>8.5</v>
      </c>
    </row>
    <row r="104" spans="1:5" x14ac:dyDescent="0.25">
      <c r="A104">
        <v>103</v>
      </c>
      <c r="B104" t="s">
        <v>7</v>
      </c>
      <c r="C104">
        <v>1</v>
      </c>
      <c r="D104">
        <v>22.99</v>
      </c>
      <c r="E104">
        <v>14.9</v>
      </c>
    </row>
    <row r="105" spans="1:5" x14ac:dyDescent="0.25">
      <c r="A105">
        <v>104</v>
      </c>
      <c r="B105" t="s">
        <v>7</v>
      </c>
      <c r="C105">
        <v>0</v>
      </c>
      <c r="D105">
        <v>0</v>
      </c>
      <c r="E105">
        <v>7.8</v>
      </c>
    </row>
    <row r="106" spans="1:5" x14ac:dyDescent="0.25">
      <c r="A106">
        <v>105</v>
      </c>
      <c r="B106" t="s">
        <v>7</v>
      </c>
      <c r="C106">
        <v>0</v>
      </c>
      <c r="D106">
        <v>0</v>
      </c>
      <c r="E106">
        <v>17.2</v>
      </c>
    </row>
    <row r="107" spans="1:5" x14ac:dyDescent="0.25">
      <c r="A107">
        <v>106</v>
      </c>
      <c r="B107" t="s">
        <v>7</v>
      </c>
      <c r="C107">
        <v>0</v>
      </c>
      <c r="D107">
        <v>0</v>
      </c>
      <c r="E107">
        <v>9.6</v>
      </c>
    </row>
    <row r="108" spans="1:5" x14ac:dyDescent="0.25">
      <c r="A108">
        <v>107</v>
      </c>
      <c r="B108" t="s">
        <v>7</v>
      </c>
      <c r="C108">
        <v>1</v>
      </c>
      <c r="D108">
        <v>34.99</v>
      </c>
      <c r="E108">
        <v>20.5</v>
      </c>
    </row>
    <row r="109" spans="1:5" x14ac:dyDescent="0.25">
      <c r="A109">
        <v>108</v>
      </c>
      <c r="B109" t="s">
        <v>7</v>
      </c>
      <c r="C109">
        <v>0</v>
      </c>
      <c r="D109">
        <v>0</v>
      </c>
      <c r="E109">
        <v>5.9</v>
      </c>
    </row>
    <row r="110" spans="1:5" x14ac:dyDescent="0.25">
      <c r="A110">
        <v>109</v>
      </c>
      <c r="B110" t="s">
        <v>7</v>
      </c>
      <c r="C110">
        <v>0</v>
      </c>
      <c r="D110">
        <v>0</v>
      </c>
      <c r="E110">
        <v>13.8</v>
      </c>
    </row>
    <row r="111" spans="1:5" x14ac:dyDescent="0.25">
      <c r="A111">
        <v>110</v>
      </c>
      <c r="B111" t="s">
        <v>7</v>
      </c>
      <c r="C111">
        <v>1</v>
      </c>
      <c r="D111">
        <v>18.989999999999998</v>
      </c>
      <c r="E111">
        <v>16.100000000000001</v>
      </c>
    </row>
    <row r="112" spans="1:5" x14ac:dyDescent="0.25">
      <c r="A112">
        <v>111</v>
      </c>
      <c r="B112" t="s">
        <v>7</v>
      </c>
      <c r="C112">
        <v>0</v>
      </c>
      <c r="D112">
        <v>0</v>
      </c>
      <c r="E112">
        <v>8.4</v>
      </c>
    </row>
    <row r="113" spans="1:5" x14ac:dyDescent="0.25">
      <c r="A113">
        <v>112</v>
      </c>
      <c r="B113" t="s">
        <v>7</v>
      </c>
      <c r="C113">
        <v>0</v>
      </c>
      <c r="D113">
        <v>0</v>
      </c>
      <c r="E113">
        <v>11.6</v>
      </c>
    </row>
    <row r="114" spans="1:5" x14ac:dyDescent="0.25">
      <c r="A114">
        <v>113</v>
      </c>
      <c r="B114" t="s">
        <v>7</v>
      </c>
      <c r="C114">
        <v>1</v>
      </c>
      <c r="D114">
        <v>28.99</v>
      </c>
      <c r="E114">
        <v>18.3</v>
      </c>
    </row>
    <row r="115" spans="1:5" x14ac:dyDescent="0.25">
      <c r="A115">
        <v>114</v>
      </c>
      <c r="B115" t="s">
        <v>7</v>
      </c>
      <c r="C115">
        <v>0</v>
      </c>
      <c r="D115">
        <v>0</v>
      </c>
      <c r="E115">
        <v>6.2</v>
      </c>
    </row>
    <row r="116" spans="1:5" x14ac:dyDescent="0.25">
      <c r="A116">
        <v>115</v>
      </c>
      <c r="B116" t="s">
        <v>7</v>
      </c>
      <c r="C116">
        <v>0</v>
      </c>
      <c r="D116">
        <v>0</v>
      </c>
      <c r="E116">
        <v>14.2</v>
      </c>
    </row>
    <row r="117" spans="1:5" x14ac:dyDescent="0.25">
      <c r="A117">
        <v>116</v>
      </c>
      <c r="B117" t="s">
        <v>7</v>
      </c>
      <c r="C117">
        <v>0</v>
      </c>
      <c r="D117">
        <v>0</v>
      </c>
      <c r="E117">
        <v>9.8000000000000007</v>
      </c>
    </row>
    <row r="118" spans="1:5" x14ac:dyDescent="0.25">
      <c r="A118">
        <v>117</v>
      </c>
      <c r="B118" t="s">
        <v>7</v>
      </c>
      <c r="C118">
        <v>1</v>
      </c>
      <c r="D118">
        <v>15.99</v>
      </c>
      <c r="E118">
        <v>16.899999999999999</v>
      </c>
    </row>
    <row r="119" spans="1:5" x14ac:dyDescent="0.25">
      <c r="A119">
        <v>118</v>
      </c>
      <c r="B119" t="s">
        <v>7</v>
      </c>
      <c r="C119">
        <v>0</v>
      </c>
      <c r="D119">
        <v>0</v>
      </c>
      <c r="E119">
        <v>10.5</v>
      </c>
    </row>
    <row r="120" spans="1:5" x14ac:dyDescent="0.25">
      <c r="A120">
        <v>119</v>
      </c>
      <c r="B120" t="s">
        <v>7</v>
      </c>
      <c r="C120">
        <v>0</v>
      </c>
      <c r="D120">
        <v>0</v>
      </c>
      <c r="E120">
        <v>12.8</v>
      </c>
    </row>
    <row r="121" spans="1:5" x14ac:dyDescent="0.25">
      <c r="A121">
        <v>120</v>
      </c>
      <c r="B121" t="s">
        <v>7</v>
      </c>
      <c r="C121">
        <v>1</v>
      </c>
      <c r="D121">
        <v>24.99</v>
      </c>
      <c r="E121">
        <v>15.6</v>
      </c>
    </row>
    <row r="122" spans="1:5" x14ac:dyDescent="0.25">
      <c r="A122">
        <v>121</v>
      </c>
      <c r="B122" t="s">
        <v>7</v>
      </c>
      <c r="C122">
        <v>0</v>
      </c>
      <c r="D122">
        <v>0</v>
      </c>
      <c r="E122">
        <v>7.5</v>
      </c>
    </row>
    <row r="123" spans="1:5" x14ac:dyDescent="0.25">
      <c r="A123">
        <v>122</v>
      </c>
      <c r="B123" t="s">
        <v>7</v>
      </c>
      <c r="C123">
        <v>0</v>
      </c>
      <c r="D123">
        <v>0</v>
      </c>
      <c r="E123">
        <v>13.1</v>
      </c>
    </row>
    <row r="124" spans="1:5" x14ac:dyDescent="0.25">
      <c r="A124">
        <v>123</v>
      </c>
      <c r="B124" t="s">
        <v>7</v>
      </c>
      <c r="C124">
        <v>1</v>
      </c>
      <c r="D124">
        <v>31.99</v>
      </c>
      <c r="E124">
        <v>17.399999999999999</v>
      </c>
    </row>
    <row r="125" spans="1:5" x14ac:dyDescent="0.25">
      <c r="A125">
        <v>124</v>
      </c>
      <c r="B125" t="s">
        <v>7</v>
      </c>
      <c r="C125">
        <v>0</v>
      </c>
      <c r="D125">
        <v>0</v>
      </c>
      <c r="E125">
        <v>6.8</v>
      </c>
    </row>
    <row r="126" spans="1:5" x14ac:dyDescent="0.25">
      <c r="A126">
        <v>125</v>
      </c>
      <c r="B126" t="s">
        <v>7</v>
      </c>
      <c r="C126">
        <v>0</v>
      </c>
      <c r="D126">
        <v>0</v>
      </c>
      <c r="E126">
        <v>11.2</v>
      </c>
    </row>
    <row r="127" spans="1:5" x14ac:dyDescent="0.25">
      <c r="A127">
        <v>126</v>
      </c>
      <c r="B127" t="s">
        <v>7</v>
      </c>
      <c r="C127">
        <v>0</v>
      </c>
      <c r="D127">
        <v>0</v>
      </c>
      <c r="E127">
        <v>9.1</v>
      </c>
    </row>
    <row r="128" spans="1:5" x14ac:dyDescent="0.25">
      <c r="A128">
        <v>127</v>
      </c>
      <c r="B128" t="s">
        <v>7</v>
      </c>
      <c r="C128">
        <v>1</v>
      </c>
      <c r="D128">
        <v>26.99</v>
      </c>
      <c r="E128">
        <v>14.5</v>
      </c>
    </row>
    <row r="129" spans="1:5" x14ac:dyDescent="0.25">
      <c r="A129">
        <v>128</v>
      </c>
      <c r="B129" t="s">
        <v>7</v>
      </c>
      <c r="C129">
        <v>0</v>
      </c>
      <c r="D129">
        <v>0</v>
      </c>
      <c r="E129">
        <v>8.9</v>
      </c>
    </row>
    <row r="130" spans="1:5" x14ac:dyDescent="0.25">
      <c r="A130">
        <v>129</v>
      </c>
      <c r="B130" t="s">
        <v>7</v>
      </c>
      <c r="C130">
        <v>0</v>
      </c>
      <c r="D130">
        <v>0</v>
      </c>
      <c r="E130">
        <v>12.4</v>
      </c>
    </row>
    <row r="131" spans="1:5" x14ac:dyDescent="0.25">
      <c r="A131">
        <v>130</v>
      </c>
      <c r="B131" t="s">
        <v>7</v>
      </c>
      <c r="C131">
        <v>1</v>
      </c>
      <c r="D131">
        <v>38.99</v>
      </c>
      <c r="E131">
        <v>19.2</v>
      </c>
    </row>
    <row r="132" spans="1:5" x14ac:dyDescent="0.25">
      <c r="A132">
        <v>131</v>
      </c>
      <c r="B132" t="s">
        <v>7</v>
      </c>
      <c r="C132">
        <v>0</v>
      </c>
      <c r="D132">
        <v>0</v>
      </c>
      <c r="E132">
        <v>7.6</v>
      </c>
    </row>
    <row r="133" spans="1:5" x14ac:dyDescent="0.25">
      <c r="A133">
        <v>132</v>
      </c>
      <c r="B133" t="s">
        <v>7</v>
      </c>
      <c r="C133">
        <v>0</v>
      </c>
      <c r="D133">
        <v>0</v>
      </c>
      <c r="E133">
        <v>10.8</v>
      </c>
    </row>
    <row r="134" spans="1:5" x14ac:dyDescent="0.25">
      <c r="A134">
        <v>133</v>
      </c>
      <c r="B134" t="s">
        <v>7</v>
      </c>
      <c r="C134">
        <v>1</v>
      </c>
      <c r="D134">
        <v>21.99</v>
      </c>
      <c r="E134">
        <v>16.399999999999999</v>
      </c>
    </row>
    <row r="135" spans="1:5" x14ac:dyDescent="0.25">
      <c r="A135">
        <v>134</v>
      </c>
      <c r="B135" t="s">
        <v>7</v>
      </c>
      <c r="C135">
        <v>0</v>
      </c>
      <c r="D135">
        <v>0</v>
      </c>
      <c r="E135">
        <v>6.1</v>
      </c>
    </row>
    <row r="136" spans="1:5" x14ac:dyDescent="0.25">
      <c r="A136">
        <v>135</v>
      </c>
      <c r="B136" t="s">
        <v>7</v>
      </c>
      <c r="C136">
        <v>0</v>
      </c>
      <c r="D136">
        <v>0</v>
      </c>
      <c r="E136">
        <v>13.5</v>
      </c>
    </row>
    <row r="137" spans="1:5" x14ac:dyDescent="0.25">
      <c r="A137">
        <v>136</v>
      </c>
      <c r="B137" t="s">
        <v>7</v>
      </c>
      <c r="C137">
        <v>1</v>
      </c>
      <c r="D137">
        <v>29.99</v>
      </c>
      <c r="E137">
        <v>18.100000000000001</v>
      </c>
    </row>
    <row r="138" spans="1:5" x14ac:dyDescent="0.25">
      <c r="A138">
        <v>137</v>
      </c>
      <c r="B138" t="s">
        <v>7</v>
      </c>
      <c r="C138">
        <v>0</v>
      </c>
      <c r="D138">
        <v>0</v>
      </c>
      <c r="E138">
        <v>9.4</v>
      </c>
    </row>
    <row r="139" spans="1:5" x14ac:dyDescent="0.25">
      <c r="A139">
        <v>138</v>
      </c>
      <c r="B139" t="s">
        <v>7</v>
      </c>
      <c r="C139">
        <v>0</v>
      </c>
      <c r="D139">
        <v>0</v>
      </c>
      <c r="E139">
        <v>11.8</v>
      </c>
    </row>
    <row r="140" spans="1:5" x14ac:dyDescent="0.25">
      <c r="A140">
        <v>139</v>
      </c>
      <c r="B140" t="s">
        <v>7</v>
      </c>
      <c r="C140">
        <v>1</v>
      </c>
      <c r="D140">
        <v>35.99</v>
      </c>
      <c r="E140">
        <v>20.2</v>
      </c>
    </row>
    <row r="141" spans="1:5" x14ac:dyDescent="0.25">
      <c r="A141">
        <v>140</v>
      </c>
      <c r="B141" t="s">
        <v>7</v>
      </c>
      <c r="C141">
        <v>0</v>
      </c>
      <c r="D141">
        <v>0</v>
      </c>
      <c r="E141">
        <v>7.2</v>
      </c>
    </row>
    <row r="142" spans="1:5" x14ac:dyDescent="0.25">
      <c r="A142">
        <v>141</v>
      </c>
      <c r="B142" t="s">
        <v>7</v>
      </c>
      <c r="C142">
        <v>0</v>
      </c>
      <c r="D142">
        <v>0</v>
      </c>
      <c r="E142">
        <v>14.6</v>
      </c>
    </row>
    <row r="143" spans="1:5" x14ac:dyDescent="0.25">
      <c r="A143">
        <v>142</v>
      </c>
      <c r="B143" t="s">
        <v>7</v>
      </c>
      <c r="C143">
        <v>1</v>
      </c>
      <c r="D143">
        <v>23.99</v>
      </c>
      <c r="E143">
        <v>17.7</v>
      </c>
    </row>
    <row r="144" spans="1:5" x14ac:dyDescent="0.25">
      <c r="A144">
        <v>143</v>
      </c>
      <c r="B144" t="s">
        <v>7</v>
      </c>
      <c r="C144">
        <v>0</v>
      </c>
      <c r="D144">
        <v>0</v>
      </c>
      <c r="E144">
        <v>8.3000000000000007</v>
      </c>
    </row>
    <row r="145" spans="1:5" x14ac:dyDescent="0.25">
      <c r="A145">
        <v>144</v>
      </c>
      <c r="B145" t="s">
        <v>7</v>
      </c>
      <c r="C145">
        <v>0</v>
      </c>
      <c r="D145">
        <v>0</v>
      </c>
      <c r="E145">
        <v>10.4</v>
      </c>
    </row>
    <row r="146" spans="1:5" x14ac:dyDescent="0.25">
      <c r="A146">
        <v>145</v>
      </c>
      <c r="B146" t="s">
        <v>7</v>
      </c>
      <c r="C146">
        <v>0</v>
      </c>
      <c r="D146">
        <v>0</v>
      </c>
      <c r="E146">
        <v>12.9</v>
      </c>
    </row>
    <row r="147" spans="1:5" x14ac:dyDescent="0.25">
      <c r="A147">
        <v>146</v>
      </c>
      <c r="B147" t="s">
        <v>7</v>
      </c>
      <c r="C147">
        <v>1</v>
      </c>
      <c r="D147">
        <v>27.99</v>
      </c>
      <c r="E147">
        <v>15.8</v>
      </c>
    </row>
    <row r="148" spans="1:5" x14ac:dyDescent="0.25">
      <c r="A148">
        <v>147</v>
      </c>
      <c r="B148" t="s">
        <v>7</v>
      </c>
      <c r="C148">
        <v>0</v>
      </c>
      <c r="D148">
        <v>0</v>
      </c>
      <c r="E148">
        <v>6.7</v>
      </c>
    </row>
    <row r="149" spans="1:5" x14ac:dyDescent="0.25">
      <c r="A149">
        <v>148</v>
      </c>
      <c r="B149" t="s">
        <v>7</v>
      </c>
      <c r="C149">
        <v>0</v>
      </c>
      <c r="D149">
        <v>0</v>
      </c>
      <c r="E149">
        <v>11.5</v>
      </c>
    </row>
    <row r="150" spans="1:5" x14ac:dyDescent="0.25">
      <c r="A150">
        <v>149</v>
      </c>
      <c r="B150" t="s">
        <v>7</v>
      </c>
      <c r="C150">
        <v>1</v>
      </c>
      <c r="D150">
        <v>33.99</v>
      </c>
      <c r="E150">
        <v>18.600000000000001</v>
      </c>
    </row>
    <row r="151" spans="1:5" x14ac:dyDescent="0.25">
      <c r="A151">
        <v>150</v>
      </c>
      <c r="B151" t="s">
        <v>7</v>
      </c>
      <c r="C151">
        <v>0</v>
      </c>
      <c r="D151">
        <v>0</v>
      </c>
      <c r="E151">
        <v>7.9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3271-13B0-43C4-970E-B3C65F46D027}">
  <dimension ref="A1:C51"/>
  <sheetViews>
    <sheetView topLeftCell="A28" workbookViewId="0">
      <selection activeCell="J12" sqref="J12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1</v>
      </c>
      <c r="B6">
        <v>1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1</v>
      </c>
      <c r="B8">
        <v>1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1</v>
      </c>
      <c r="B11">
        <v>1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1</v>
      </c>
    </row>
    <row r="14" spans="1:3" x14ac:dyDescent="0.25">
      <c r="A14">
        <v>1</v>
      </c>
      <c r="B14">
        <v>1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1</v>
      </c>
      <c r="B17">
        <v>1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1</v>
      </c>
      <c r="B20">
        <v>1</v>
      </c>
      <c r="C20">
        <v>1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1</v>
      </c>
      <c r="B23">
        <v>1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1</v>
      </c>
      <c r="B27">
        <v>1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1</v>
      </c>
      <c r="B30">
        <v>1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1</v>
      </c>
      <c r="B33">
        <v>1</v>
      </c>
      <c r="C33">
        <v>0</v>
      </c>
    </row>
    <row r="34" spans="1:3" x14ac:dyDescent="0.25">
      <c r="A34">
        <v>0</v>
      </c>
      <c r="B34">
        <v>0</v>
      </c>
      <c r="C34">
        <v>0</v>
      </c>
    </row>
    <row r="35" spans="1:3" x14ac:dyDescent="0.25">
      <c r="A35">
        <v>0</v>
      </c>
      <c r="B35">
        <v>0</v>
      </c>
      <c r="C35">
        <v>0</v>
      </c>
    </row>
    <row r="36" spans="1:3" x14ac:dyDescent="0.25">
      <c r="A36">
        <v>1</v>
      </c>
      <c r="B36">
        <v>1</v>
      </c>
      <c r="C36">
        <v>0</v>
      </c>
    </row>
    <row r="37" spans="1:3" x14ac:dyDescent="0.25">
      <c r="A37">
        <v>0</v>
      </c>
      <c r="B37">
        <v>0</v>
      </c>
      <c r="C37">
        <v>0</v>
      </c>
    </row>
    <row r="38" spans="1:3" x14ac:dyDescent="0.25">
      <c r="A38">
        <v>0</v>
      </c>
      <c r="B38">
        <v>0</v>
      </c>
      <c r="C38">
        <v>0</v>
      </c>
    </row>
    <row r="39" spans="1:3" x14ac:dyDescent="0.25">
      <c r="A39">
        <v>1</v>
      </c>
      <c r="B39">
        <v>1</v>
      </c>
      <c r="C39">
        <v>1</v>
      </c>
    </row>
    <row r="40" spans="1:3" x14ac:dyDescent="0.25">
      <c r="A40">
        <v>0</v>
      </c>
      <c r="B40">
        <v>0</v>
      </c>
      <c r="C40">
        <v>0</v>
      </c>
    </row>
    <row r="41" spans="1:3" x14ac:dyDescent="0.25">
      <c r="A41">
        <v>0</v>
      </c>
      <c r="B41">
        <v>0</v>
      </c>
      <c r="C41">
        <v>0</v>
      </c>
    </row>
    <row r="42" spans="1:3" x14ac:dyDescent="0.25">
      <c r="A42">
        <v>1</v>
      </c>
      <c r="B42">
        <v>1</v>
      </c>
      <c r="C42">
        <v>0</v>
      </c>
    </row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</v>
      </c>
      <c r="B45">
        <v>0</v>
      </c>
      <c r="C45">
        <v>0</v>
      </c>
    </row>
    <row r="46" spans="1:3" x14ac:dyDescent="0.25">
      <c r="A46">
        <v>1</v>
      </c>
      <c r="B46">
        <v>1</v>
      </c>
      <c r="C46">
        <v>0</v>
      </c>
    </row>
    <row r="47" spans="1:3" x14ac:dyDescent="0.25">
      <c r="A47">
        <v>0</v>
      </c>
      <c r="B47">
        <v>0</v>
      </c>
      <c r="C47">
        <v>0</v>
      </c>
    </row>
    <row r="48" spans="1:3" x14ac:dyDescent="0.25">
      <c r="A48">
        <v>0</v>
      </c>
      <c r="B48">
        <v>0</v>
      </c>
      <c r="C48">
        <v>0</v>
      </c>
    </row>
    <row r="49" spans="1:3" x14ac:dyDescent="0.25">
      <c r="A49">
        <v>1</v>
      </c>
      <c r="B49">
        <v>1</v>
      </c>
      <c r="C49">
        <v>0</v>
      </c>
    </row>
    <row r="50" spans="1:3" x14ac:dyDescent="0.25">
      <c r="A50">
        <v>0</v>
      </c>
      <c r="B50">
        <v>0</v>
      </c>
      <c r="C50">
        <v>0</v>
      </c>
    </row>
    <row r="51" spans="1:3" x14ac:dyDescent="0.25">
      <c r="A51">
        <v>0</v>
      </c>
      <c r="B51">
        <v>0</v>
      </c>
      <c r="C5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FF42-02E1-4FAA-B916-FDE5F6C51F86}">
  <dimension ref="A1:K32"/>
  <sheetViews>
    <sheetView topLeftCell="B1" zoomScaleNormal="100" workbookViewId="0">
      <selection activeCell="F38" sqref="F38"/>
    </sheetView>
  </sheetViews>
  <sheetFormatPr defaultRowHeight="15" x14ac:dyDescent="0.25"/>
  <cols>
    <col min="1" max="1" width="20.08984375" customWidth="1"/>
    <col min="2" max="2" width="17.26953125" customWidth="1"/>
    <col min="4" max="4" width="8.7265625" customWidth="1"/>
    <col min="5" max="5" width="19.26953125" customWidth="1"/>
    <col min="6" max="6" width="26.08984375" customWidth="1"/>
    <col min="8" max="8" width="16.36328125" customWidth="1"/>
    <col min="9" max="9" width="39" customWidth="1"/>
  </cols>
  <sheetData>
    <row r="1" spans="1:10" ht="15.6" x14ac:dyDescent="0.3">
      <c r="A1" s="8" t="s">
        <v>8</v>
      </c>
      <c r="B1" s="8" t="s">
        <v>5</v>
      </c>
      <c r="C1" s="8" t="s">
        <v>6</v>
      </c>
      <c r="D1" s="8" t="s">
        <v>7</v>
      </c>
      <c r="E1" s="8" t="s">
        <v>9</v>
      </c>
      <c r="F1" s="8" t="s">
        <v>10</v>
      </c>
    </row>
    <row r="2" spans="1:10" x14ac:dyDescent="0.25">
      <c r="A2" s="2" t="s">
        <v>11</v>
      </c>
      <c r="B2" s="5">
        <f>COUNTIF(Data!B:B, "Control")</f>
        <v>50</v>
      </c>
      <c r="C2" s="5">
        <f>COUNTIF(Data!B:B, "Test_A")</f>
        <v>50</v>
      </c>
      <c r="D2" s="5">
        <f>COUNTIF(Data!B:B, "Test_B")</f>
        <v>50</v>
      </c>
      <c r="E2" s="5"/>
      <c r="F2" s="5"/>
    </row>
    <row r="3" spans="1:10" x14ac:dyDescent="0.25">
      <c r="A3" s="2" t="s">
        <v>12</v>
      </c>
      <c r="B3" s="5">
        <f>COUNTIFS(Data!B:B, "Control", Data!C:C, 1)</f>
        <v>16</v>
      </c>
      <c r="C3" s="5">
        <f>COUNTIFS(Data!B:B, "Test_A", Data!C:C, 1)</f>
        <v>16</v>
      </c>
      <c r="D3" s="5">
        <f>COUNTIFS(Data!B:B, "Test_B", Data!C:C, 1)</f>
        <v>15</v>
      </c>
      <c r="E3" s="5"/>
      <c r="F3" s="5"/>
    </row>
    <row r="4" spans="1:10" ht="15.6" x14ac:dyDescent="0.3">
      <c r="A4" s="2" t="s">
        <v>13</v>
      </c>
      <c r="B4" s="5">
        <f>B3/B2</f>
        <v>0.32</v>
      </c>
      <c r="C4" s="5">
        <f>C3/C2</f>
        <v>0.32</v>
      </c>
      <c r="D4" s="5">
        <f>D3/D2</f>
        <v>0.3</v>
      </c>
      <c r="E4" s="5" t="s">
        <v>5</v>
      </c>
      <c r="F4" s="5" t="s">
        <v>70</v>
      </c>
      <c r="H4" s="16" t="s">
        <v>53</v>
      </c>
      <c r="I4" s="16"/>
      <c r="J4" s="16"/>
    </row>
    <row r="5" spans="1:10" ht="15.6" x14ac:dyDescent="0.3">
      <c r="A5" s="2" t="s">
        <v>14</v>
      </c>
      <c r="B5" s="5">
        <f>SUMIF(Data!B:B, "Control", Data!D:D)</f>
        <v>529.84</v>
      </c>
      <c r="C5" s="5">
        <f>SUMIF(Data!B:B, "Test_A", Data!D:D)</f>
        <v>599.84</v>
      </c>
      <c r="D5" s="5">
        <f>SUMIF(Data!B:B, "Test_B", Data!D:D)</f>
        <v>418.85000000000008</v>
      </c>
      <c r="E5" s="5" t="s">
        <v>6</v>
      </c>
      <c r="F5" s="5"/>
      <c r="H5" s="10" t="s">
        <v>54</v>
      </c>
      <c r="I5" s="8" t="s">
        <v>55</v>
      </c>
      <c r="J5" s="10" t="s">
        <v>10</v>
      </c>
    </row>
    <row r="6" spans="1:10" x14ac:dyDescent="0.25">
      <c r="A6" s="2" t="s">
        <v>15</v>
      </c>
      <c r="B6" s="5">
        <f>B5/B2</f>
        <v>10.5968</v>
      </c>
      <c r="C6" s="5">
        <f>C5/C2</f>
        <v>11.9968</v>
      </c>
      <c r="D6" s="5">
        <f>D5/D2</f>
        <v>8.3770000000000024</v>
      </c>
      <c r="E6" s="5" t="s">
        <v>6</v>
      </c>
      <c r="F6" s="5" t="s">
        <v>71</v>
      </c>
      <c r="H6" s="2" t="s">
        <v>56</v>
      </c>
      <c r="I6" s="3" t="s">
        <v>57</v>
      </c>
      <c r="J6" s="3" t="s">
        <v>62</v>
      </c>
    </row>
    <row r="7" spans="1:10" x14ac:dyDescent="0.25">
      <c r="A7" s="2" t="s">
        <v>16</v>
      </c>
      <c r="B7" s="6">
        <v>0</v>
      </c>
      <c r="C7" s="7">
        <f>(C4-B4)/B4</f>
        <v>0</v>
      </c>
      <c r="D7" s="7">
        <f>(D4-B4)/B4</f>
        <v>-6.2500000000000056E-2</v>
      </c>
      <c r="E7" s="5" t="s">
        <v>5</v>
      </c>
      <c r="F7" s="5" t="s">
        <v>72</v>
      </c>
      <c r="H7" s="2" t="s">
        <v>58</v>
      </c>
      <c r="I7" s="3" t="s">
        <v>59</v>
      </c>
      <c r="J7" s="3" t="s">
        <v>63</v>
      </c>
    </row>
    <row r="8" spans="1:10" x14ac:dyDescent="0.25">
      <c r="H8" s="2" t="s">
        <v>60</v>
      </c>
      <c r="I8" s="3" t="s">
        <v>61</v>
      </c>
      <c r="J8" s="3" t="s">
        <v>64</v>
      </c>
    </row>
    <row r="9" spans="1:10" x14ac:dyDescent="0.25">
      <c r="H9" s="3"/>
      <c r="I9" s="3"/>
      <c r="J9" s="3"/>
    </row>
    <row r="10" spans="1:10" ht="17.399999999999999" x14ac:dyDescent="0.3">
      <c r="A10" s="17" t="s">
        <v>17</v>
      </c>
      <c r="B10" s="17"/>
      <c r="C10" s="17"/>
      <c r="H10" s="2" t="s">
        <v>65</v>
      </c>
      <c r="I10" s="11" t="str">
        <f>IF(AND(J6="Significant", J7="Yes", J8="Positive"), "🚀 LAUNCH",
   IF(J6="Significant", "RETEST", "❌ REJECT"))</f>
        <v>RETEST</v>
      </c>
      <c r="J10" s="3"/>
    </row>
    <row r="11" spans="1:10" ht="15.6" x14ac:dyDescent="0.3">
      <c r="A11" s="17" t="s">
        <v>18</v>
      </c>
      <c r="B11" s="17"/>
      <c r="C11" s="17"/>
    </row>
    <row r="12" spans="1:10" x14ac:dyDescent="0.25">
      <c r="A12" s="4" t="s">
        <v>19</v>
      </c>
      <c r="B12" s="12" t="s">
        <v>66</v>
      </c>
      <c r="C12" s="13"/>
    </row>
    <row r="13" spans="1:10" x14ac:dyDescent="0.25">
      <c r="A13" s="4" t="s">
        <v>20</v>
      </c>
      <c r="B13" s="12" t="s">
        <v>67</v>
      </c>
      <c r="C13" s="13"/>
    </row>
    <row r="14" spans="1:10" ht="15.6" x14ac:dyDescent="0.3">
      <c r="A14" s="17" t="s">
        <v>21</v>
      </c>
      <c r="B14" s="17"/>
      <c r="C14" s="17"/>
    </row>
    <row r="15" spans="1:10" x14ac:dyDescent="0.25">
      <c r="A15" s="4" t="s">
        <v>19</v>
      </c>
      <c r="B15" s="12" t="s">
        <v>68</v>
      </c>
      <c r="C15" s="13"/>
    </row>
    <row r="16" spans="1:10" x14ac:dyDescent="0.25">
      <c r="A16" s="4" t="s">
        <v>20</v>
      </c>
      <c r="B16" s="12" t="s">
        <v>69</v>
      </c>
      <c r="C16" s="13"/>
    </row>
    <row r="18" spans="1:11" ht="15.6" x14ac:dyDescent="0.3">
      <c r="A18" s="14" t="s">
        <v>22</v>
      </c>
      <c r="B18" s="14"/>
      <c r="C18" s="14"/>
      <c r="E18" s="14" t="s">
        <v>35</v>
      </c>
      <c r="F18" s="14"/>
      <c r="G18" s="14"/>
      <c r="H18" s="14"/>
      <c r="I18" s="14"/>
    </row>
    <row r="19" spans="1:11" ht="15.6" thickBot="1" x14ac:dyDescent="0.3"/>
    <row r="20" spans="1:11" ht="16.2" thickBot="1" x14ac:dyDescent="0.35">
      <c r="A20" s="1"/>
      <c r="B20" s="9" t="s">
        <v>23</v>
      </c>
      <c r="C20" s="9" t="s">
        <v>24</v>
      </c>
      <c r="E20" s="15" t="s">
        <v>36</v>
      </c>
      <c r="F20" s="15"/>
      <c r="G20" s="15"/>
      <c r="H20" s="15"/>
      <c r="I20" s="15"/>
    </row>
    <row r="21" spans="1:11" ht="15.6" x14ac:dyDescent="0.3">
      <c r="A21" s="2" t="s">
        <v>25</v>
      </c>
      <c r="B21" s="3">
        <v>0.32</v>
      </c>
      <c r="C21" s="3">
        <v>0.32</v>
      </c>
      <c r="E21" s="9" t="s">
        <v>37</v>
      </c>
      <c r="F21" s="9" t="s">
        <v>38</v>
      </c>
      <c r="G21" s="9" t="s">
        <v>39</v>
      </c>
      <c r="H21" s="9" t="s">
        <v>40</v>
      </c>
      <c r="I21" s="9" t="s">
        <v>26</v>
      </c>
    </row>
    <row r="22" spans="1:11" x14ac:dyDescent="0.25">
      <c r="A22" s="2" t="s">
        <v>26</v>
      </c>
      <c r="B22" s="3">
        <v>0.22204081632653058</v>
      </c>
      <c r="C22" s="3">
        <v>0.22204081632653058</v>
      </c>
      <c r="E22" s="2" t="s">
        <v>41</v>
      </c>
      <c r="F22" s="3">
        <v>50</v>
      </c>
      <c r="G22" s="3">
        <v>16</v>
      </c>
      <c r="H22" s="3">
        <v>0.32</v>
      </c>
      <c r="I22" s="3">
        <v>0.22204081632653058</v>
      </c>
    </row>
    <row r="23" spans="1:11" x14ac:dyDescent="0.25">
      <c r="A23" s="2" t="s">
        <v>27</v>
      </c>
      <c r="B23" s="3">
        <v>50</v>
      </c>
      <c r="C23" s="3">
        <v>50</v>
      </c>
      <c r="E23" s="2" t="s">
        <v>42</v>
      </c>
      <c r="F23" s="3">
        <v>50</v>
      </c>
      <c r="G23" s="3">
        <v>16</v>
      </c>
      <c r="H23" s="3">
        <v>0.32</v>
      </c>
      <c r="I23" s="3">
        <v>0.22204081632653058</v>
      </c>
    </row>
    <row r="24" spans="1:11" x14ac:dyDescent="0.25">
      <c r="A24" s="2" t="s">
        <v>28</v>
      </c>
      <c r="B24" s="3">
        <v>0</v>
      </c>
      <c r="C24" s="3"/>
      <c r="E24" s="2" t="s">
        <v>43</v>
      </c>
      <c r="F24" s="3">
        <v>50</v>
      </c>
      <c r="G24" s="3">
        <v>4</v>
      </c>
      <c r="H24" s="3">
        <v>0.08</v>
      </c>
      <c r="I24" s="3">
        <v>7.5102040816326529E-2</v>
      </c>
    </row>
    <row r="25" spans="1:11" x14ac:dyDescent="0.25">
      <c r="A25" s="2" t="s">
        <v>29</v>
      </c>
      <c r="B25" s="3">
        <v>98</v>
      </c>
      <c r="C25" s="3"/>
    </row>
    <row r="26" spans="1:11" x14ac:dyDescent="0.25">
      <c r="A26" s="2" t="s">
        <v>30</v>
      </c>
      <c r="B26" s="3">
        <v>0</v>
      </c>
      <c r="C26" s="3"/>
    </row>
    <row r="27" spans="1:11" ht="15.6" thickBot="1" x14ac:dyDescent="0.3">
      <c r="A27" s="2" t="s">
        <v>31</v>
      </c>
      <c r="B27" s="3">
        <v>0.5</v>
      </c>
      <c r="C27" s="3"/>
      <c r="E27" s="15" t="s">
        <v>44</v>
      </c>
      <c r="F27" s="15"/>
      <c r="G27" s="15"/>
      <c r="H27" s="15"/>
      <c r="I27" s="15"/>
      <c r="J27" s="15"/>
      <c r="K27" s="15"/>
    </row>
    <row r="28" spans="1:11" ht="15.6" x14ac:dyDescent="0.3">
      <c r="A28" s="2" t="s">
        <v>32</v>
      </c>
      <c r="B28" s="3">
        <v>1.6605512170657302</v>
      </c>
      <c r="C28" s="3"/>
      <c r="E28" s="9" t="s">
        <v>45</v>
      </c>
      <c r="F28" s="9" t="s">
        <v>46</v>
      </c>
      <c r="G28" s="9" t="s">
        <v>29</v>
      </c>
      <c r="H28" s="9" t="s">
        <v>47</v>
      </c>
      <c r="I28" s="9" t="s">
        <v>48</v>
      </c>
      <c r="J28" s="9" t="s">
        <v>19</v>
      </c>
      <c r="K28" s="9" t="s">
        <v>49</v>
      </c>
    </row>
    <row r="29" spans="1:11" x14ac:dyDescent="0.25">
      <c r="A29" s="2" t="s">
        <v>33</v>
      </c>
      <c r="B29" s="3">
        <v>1</v>
      </c>
      <c r="C29" s="3"/>
      <c r="E29" s="2" t="s">
        <v>50</v>
      </c>
      <c r="F29" s="3">
        <v>1.9200000000000763</v>
      </c>
      <c r="G29" s="3">
        <v>2</v>
      </c>
      <c r="H29" s="3">
        <v>0.96000000000003816</v>
      </c>
      <c r="I29" s="3">
        <v>5.5471698113209751</v>
      </c>
      <c r="J29" s="3">
        <v>4.7585487591393916E-3</v>
      </c>
      <c r="K29" s="3">
        <v>3.0576206516493913</v>
      </c>
    </row>
    <row r="30" spans="1:11" x14ac:dyDescent="0.25">
      <c r="A30" s="2" t="s">
        <v>34</v>
      </c>
      <c r="B30" s="3">
        <v>1.9844674545084788</v>
      </c>
      <c r="C30" s="3"/>
      <c r="E30" s="2" t="s">
        <v>51</v>
      </c>
      <c r="F30" s="3">
        <v>25.439999999999998</v>
      </c>
      <c r="G30" s="3">
        <v>147</v>
      </c>
      <c r="H30" s="3">
        <v>0.17306122448979591</v>
      </c>
      <c r="I30" s="3"/>
      <c r="J30" s="3"/>
      <c r="K30" s="3"/>
    </row>
    <row r="31" spans="1:11" x14ac:dyDescent="0.25">
      <c r="E31" s="19"/>
      <c r="F31" s="19"/>
      <c r="G31" s="19"/>
      <c r="H31" s="19"/>
      <c r="I31" s="19"/>
      <c r="J31" s="19"/>
      <c r="K31" s="19"/>
    </row>
    <row r="32" spans="1:11" x14ac:dyDescent="0.25">
      <c r="E32" s="2" t="s">
        <v>52</v>
      </c>
      <c r="F32" s="3">
        <v>27.360000000000074</v>
      </c>
      <c r="G32" s="3">
        <v>149</v>
      </c>
      <c r="H32" s="18"/>
      <c r="I32" s="18"/>
      <c r="J32" s="18"/>
      <c r="K32" s="18"/>
    </row>
  </sheetData>
  <mergeCells count="13">
    <mergeCell ref="E31:K31"/>
    <mergeCell ref="E27:K27"/>
    <mergeCell ref="H4:J4"/>
    <mergeCell ref="A10:C10"/>
    <mergeCell ref="A11:C11"/>
    <mergeCell ref="A14:C14"/>
    <mergeCell ref="B12:C12"/>
    <mergeCell ref="B15:C15"/>
    <mergeCell ref="A18:C18"/>
    <mergeCell ref="B13:C13"/>
    <mergeCell ref="B16:C16"/>
    <mergeCell ref="E18:I18"/>
    <mergeCell ref="E20:I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ANOVA_Input</vt:lpstr>
      <vt:lpstr>Experiment_Summary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lakshika sharma</dc:creator>
  <cp:lastModifiedBy>lakshika sharma</cp:lastModifiedBy>
  <dcterms:created xsi:type="dcterms:W3CDTF">2026-05-30T07:27:54Z</dcterms:created>
  <dcterms:modified xsi:type="dcterms:W3CDTF">2026-05-31T06:59:26Z</dcterms:modified>
</cp:coreProperties>
</file>